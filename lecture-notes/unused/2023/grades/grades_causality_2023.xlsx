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8"/>
  <workbookPr defaultThemeVersion="166925"/>
  <xr:revisionPtr revIDLastSave="0" documentId="8_{A9F18AF8-A834-4C29-A6FC-E6E457D0ED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  <c r="N2" i="1"/>
  <c r="M2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4" i="1"/>
  <c r="M13" i="1"/>
  <c r="M12" i="1"/>
  <c r="M11" i="1"/>
  <c r="M10" i="1"/>
  <c r="M9" i="1"/>
  <c r="M8" i="1"/>
  <c r="M7" i="1"/>
  <c r="M6" i="1"/>
  <c r="M5" i="1"/>
  <c r="M4" i="1"/>
  <c r="M3" i="1"/>
  <c r="H14" i="1"/>
  <c r="I14" i="1" s="1"/>
  <c r="J14" i="1" s="1"/>
  <c r="K14" i="1" s="1"/>
  <c r="H13" i="1"/>
  <c r="I13" i="1" s="1"/>
  <c r="J13" i="1" s="1"/>
  <c r="K13" i="1" s="1"/>
  <c r="H12" i="1"/>
  <c r="I12" i="1" s="1"/>
  <c r="J12" i="1" s="1"/>
  <c r="K12" i="1" s="1"/>
  <c r="H11" i="1"/>
  <c r="I11" i="1" s="1"/>
  <c r="J11" i="1" s="1"/>
  <c r="K11" i="1" s="1"/>
  <c r="H10" i="1"/>
  <c r="I10" i="1" s="1"/>
  <c r="J10" i="1" s="1"/>
  <c r="K10" i="1" s="1"/>
  <c r="H9" i="1"/>
  <c r="I9" i="1" s="1"/>
  <c r="J9" i="1" s="1"/>
  <c r="K9" i="1" s="1"/>
  <c r="H8" i="1"/>
  <c r="I8" i="1" s="1"/>
  <c r="J8" i="1" s="1"/>
  <c r="K8" i="1" s="1"/>
  <c r="H7" i="1"/>
  <c r="I7" i="1" s="1"/>
  <c r="J7" i="1" s="1"/>
  <c r="K7" i="1" s="1"/>
  <c r="H6" i="1"/>
  <c r="I6" i="1" s="1"/>
  <c r="J6" i="1" s="1"/>
  <c r="K6" i="1" s="1"/>
  <c r="H5" i="1"/>
  <c r="I5" i="1" s="1"/>
  <c r="J5" i="1" s="1"/>
  <c r="K5" i="1" s="1"/>
  <c r="H4" i="1"/>
  <c r="I4" i="1" s="1"/>
  <c r="J4" i="1" s="1"/>
  <c r="K4" i="1" s="1"/>
  <c r="H3" i="1"/>
  <c r="I3" i="1" s="1"/>
  <c r="J3" i="1" s="1"/>
  <c r="K3" i="1" s="1"/>
  <c r="H2" i="1"/>
  <c r="I2" i="1" s="1"/>
  <c r="J2" i="1" s="1"/>
  <c r="K2" i="1" s="1"/>
  <c r="Q14" i="1" l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<sst xmlns="http://schemas.openxmlformats.org/spreadsheetml/2006/main" count="56" uniqueCount="41">
  <si>
    <t>Surname</t>
  </si>
  <si>
    <t>First name</t>
  </si>
  <si>
    <t>Final exam ex. 1</t>
  </si>
  <si>
    <t>Final exam ex. 2</t>
  </si>
  <si>
    <t>Final exam ex. 3</t>
  </si>
  <si>
    <t>Final exam ex. 4</t>
  </si>
  <si>
    <t>Final exam total</t>
  </si>
  <si>
    <t>Final exam grade (0-10 scale)</t>
  </si>
  <si>
    <t>Final exam grade with 3 bonus points</t>
  </si>
  <si>
    <t>on 1-10 scale</t>
  </si>
  <si>
    <t>Homework Avg</t>
  </si>
  <si>
    <t>Final grade</t>
  </si>
  <si>
    <t>Final exam total with 3 bonus points and all 9 points for exercise 2</t>
  </si>
  <si>
    <t>Final exam grade 0-10 scale</t>
  </si>
  <si>
    <t>Final exam grade 1-10 scale</t>
  </si>
  <si>
    <t>Corrected final grade</t>
  </si>
  <si>
    <t>Alberti</t>
  </si>
  <si>
    <t>Riccardo</t>
  </si>
  <si>
    <t>Boonstra</t>
  </si>
  <si>
    <t>Aafko</t>
  </si>
  <si>
    <t>de Graaff</t>
  </si>
  <si>
    <t>Olaf</t>
  </si>
  <si>
    <t>Drzewakowski</t>
  </si>
  <si>
    <t>Witold</t>
  </si>
  <si>
    <t>Kedari</t>
  </si>
  <si>
    <t>Vijaya Lakshmi</t>
  </si>
  <si>
    <t>Liu</t>
  </si>
  <si>
    <t>Xiaowen</t>
  </si>
  <si>
    <t>Pislar</t>
  </si>
  <si>
    <t>Theodora-Mara</t>
  </si>
  <si>
    <t>Raaijmakers</t>
  </si>
  <si>
    <t>Kjell</t>
  </si>
  <si>
    <t>Smalbil</t>
  </si>
  <si>
    <t>Louk</t>
  </si>
  <si>
    <t>van der Zee</t>
  </si>
  <si>
    <t>Koen</t>
  </si>
  <si>
    <t>van Gent</t>
  </si>
  <si>
    <t>Versnel</t>
  </si>
  <si>
    <t>Michiel</t>
  </si>
  <si>
    <t>Vragovic</t>
  </si>
  <si>
    <t>Mihael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</si>
</sst>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I1" workbookViewId="0">
      <selection activeCell="R1" sqref="R1"/>
    </sheetView>
  </sheetViews>
  <sheetFormatPr defaultRowHeight="15"/>
  <cols>
    <col min="1" max="1" width="15.28515625" customWidth="1"/>
    <col min="2" max="2" width="14.140625" customWidth="1"/>
    <col min="3" max="3" width="1.5703125" customWidth="1"/>
    <col min="4" max="4" width="15.28515625" customWidth="1"/>
    <col min="5" max="5" width="15.140625" customWidth="1"/>
    <col min="6" max="6" width="16.42578125" customWidth="1"/>
    <col min="7" max="7" width="14.5703125" customWidth="1"/>
    <col min="8" max="8" width="15.42578125" customWidth="1"/>
    <col min="9" max="9" width="27.42578125" customWidth="1"/>
    <col min="10" max="10" width="34.28515625" customWidth="1"/>
    <col min="11" max="11" width="13.5703125" customWidth="1"/>
    <col min="12" max="12" width="14.85546875" customWidth="1"/>
    <col min="13" max="13" width="11" customWidth="1"/>
  </cols>
  <sheetData>
    <row r="1" spans="1:18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1" t="s">
        <v>0</v>
      </c>
    </row>
    <row r="2" spans="1:18">
      <c r="A2" s="4" t="s">
        <v>16</v>
      </c>
      <c r="B2" s="5" t="s">
        <v>17</v>
      </c>
      <c r="C2" s="5"/>
      <c r="D2" s="5">
        <v>9</v>
      </c>
      <c r="E2" s="5">
        <v>3</v>
      </c>
      <c r="F2" s="5">
        <v>9</v>
      </c>
      <c r="G2" s="5">
        <v>2</v>
      </c>
      <c r="H2" s="6">
        <f>D2+E2+F2+G2</f>
        <v>23</v>
      </c>
      <c r="I2">
        <f>H2/5</f>
        <v>4.5999999999999996</v>
      </c>
      <c r="J2">
        <f>I2+0.6</f>
        <v>5.1999999999999993</v>
      </c>
      <c r="K2">
        <f>J2*0.9+1</f>
        <v>5.68</v>
      </c>
      <c r="L2">
        <v>6.3</v>
      </c>
      <c r="M2">
        <f>ROUND((J2*0.85+L2*0.15)*0.9+1,0)</f>
        <v>6</v>
      </c>
      <c r="N2" s="6">
        <f>D2+9+F2+G2+3</f>
        <v>32</v>
      </c>
      <c r="O2">
        <f>N2/5</f>
        <v>6.4</v>
      </c>
      <c r="P2">
        <f>O2*0.9+1</f>
        <v>6.7600000000000007</v>
      </c>
      <c r="Q2">
        <f>ROUND((O2*0.85+L2*0.15)*0.9+1,0)</f>
        <v>7</v>
      </c>
      <c r="R2" s="4" t="s">
        <v>16</v>
      </c>
    </row>
    <row r="3" spans="1:18">
      <c r="A3" s="4" t="s">
        <v>18</v>
      </c>
      <c r="B3" s="5" t="s">
        <v>19</v>
      </c>
      <c r="C3" s="5"/>
      <c r="D3" s="5">
        <v>0</v>
      </c>
      <c r="E3" s="5">
        <v>3</v>
      </c>
      <c r="F3" s="5">
        <v>14</v>
      </c>
      <c r="G3" s="5">
        <v>3.5</v>
      </c>
      <c r="H3" s="6">
        <f>D3+E3+F3+G3</f>
        <v>20.5</v>
      </c>
      <c r="I3">
        <f>H3/5</f>
        <v>4.0999999999999996</v>
      </c>
      <c r="J3">
        <f>I3+0.6</f>
        <v>4.6999999999999993</v>
      </c>
      <c r="K3">
        <f>J3*0.9+1</f>
        <v>5.2299999999999995</v>
      </c>
      <c r="L3">
        <v>1.4</v>
      </c>
      <c r="M3">
        <f>ROUND((J3*0.85+L3*0.15)*0.9+1,0)</f>
        <v>5</v>
      </c>
      <c r="N3" s="6">
        <f>D3+9+F3+G3+3</f>
        <v>29.5</v>
      </c>
      <c r="O3">
        <f>N3/5</f>
        <v>5.9</v>
      </c>
      <c r="P3">
        <f>O3*0.9+1</f>
        <v>6.3100000000000005</v>
      </c>
      <c r="Q3">
        <f>ROUND((O3*0.85+L3*0.15)*0.9+1,0)</f>
        <v>6</v>
      </c>
      <c r="R3" s="4" t="s">
        <v>18</v>
      </c>
    </row>
    <row r="4" spans="1:18">
      <c r="A4" s="4" t="s">
        <v>20</v>
      </c>
      <c r="B4" s="5" t="s">
        <v>21</v>
      </c>
      <c r="C4" s="5"/>
      <c r="D4" s="5">
        <v>0</v>
      </c>
      <c r="E4" s="5">
        <v>1.5</v>
      </c>
      <c r="F4" s="5">
        <v>17.5</v>
      </c>
      <c r="G4" s="5">
        <v>2</v>
      </c>
      <c r="H4" s="6">
        <f>D4+E4+F4+G4</f>
        <v>21</v>
      </c>
      <c r="I4">
        <f>H4/5</f>
        <v>4.2</v>
      </c>
      <c r="J4">
        <f>I4+0.6</f>
        <v>4.8</v>
      </c>
      <c r="K4">
        <f>J4*0.9+1</f>
        <v>5.32</v>
      </c>
      <c r="L4">
        <v>8.1</v>
      </c>
      <c r="M4">
        <f>ROUND((J4*0.85+L4*0.15)*0.9+1,0)</f>
        <v>6</v>
      </c>
      <c r="N4" s="6">
        <f>D4+9+F4+G4+3</f>
        <v>31.5</v>
      </c>
      <c r="O4">
        <f>N4/5</f>
        <v>6.3</v>
      </c>
      <c r="P4">
        <f>O4*0.9+1</f>
        <v>6.67</v>
      </c>
      <c r="Q4">
        <f>ROUND((O4*0.85+L4*0.15)*0.9+1,0)</f>
        <v>7</v>
      </c>
      <c r="R4" s="4" t="s">
        <v>20</v>
      </c>
    </row>
    <row r="5" spans="1:18">
      <c r="A5" s="4" t="s">
        <v>22</v>
      </c>
      <c r="B5" s="5" t="s">
        <v>23</v>
      </c>
      <c r="C5" s="5"/>
      <c r="D5" s="5">
        <v>3</v>
      </c>
      <c r="E5" s="5">
        <v>7</v>
      </c>
      <c r="F5" s="5">
        <v>24</v>
      </c>
      <c r="G5" s="5">
        <v>0</v>
      </c>
      <c r="H5" s="6">
        <f>D5+E5+F5+G5</f>
        <v>34</v>
      </c>
      <c r="I5">
        <f>H5/5</f>
        <v>6.8</v>
      </c>
      <c r="J5">
        <f>I5+0.6</f>
        <v>7.3999999999999995</v>
      </c>
      <c r="K5">
        <f>J5*0.9+1</f>
        <v>7.6599999999999993</v>
      </c>
      <c r="L5">
        <v>9</v>
      </c>
      <c r="M5">
        <f>ROUND((J5*0.85+L5*0.15)*0.9+1,0)</f>
        <v>8</v>
      </c>
      <c r="N5" s="6">
        <f>D5+9+F5+G5+3</f>
        <v>39</v>
      </c>
      <c r="O5">
        <f>N5/5</f>
        <v>7.8</v>
      </c>
      <c r="P5">
        <f>O5*0.9+1</f>
        <v>8.02</v>
      </c>
      <c r="Q5">
        <f>ROUND((O5*0.85+L5*0.15)*0.9+1,0)</f>
        <v>8</v>
      </c>
      <c r="R5" s="4" t="s">
        <v>22</v>
      </c>
    </row>
    <row r="6" spans="1:18">
      <c r="A6" s="4" t="s">
        <v>24</v>
      </c>
      <c r="B6" s="5" t="s">
        <v>25</v>
      </c>
      <c r="C6" s="5"/>
      <c r="D6" s="5">
        <v>1</v>
      </c>
      <c r="E6" s="5">
        <v>1</v>
      </c>
      <c r="F6" s="5">
        <v>6.5</v>
      </c>
      <c r="G6" s="5">
        <v>2</v>
      </c>
      <c r="H6" s="6">
        <f>D6+E6+F6+G6</f>
        <v>10.5</v>
      </c>
      <c r="I6">
        <f>H6/5</f>
        <v>2.1</v>
      </c>
      <c r="J6">
        <f>I6+0.6</f>
        <v>2.7</v>
      </c>
      <c r="K6" s="9">
        <f>J6*0.9+1</f>
        <v>3.43</v>
      </c>
      <c r="L6">
        <v>7</v>
      </c>
      <c r="M6">
        <f>ROUND((J6*0.85+L6*0.15)*0.9+1,0)</f>
        <v>4</v>
      </c>
      <c r="N6" s="6">
        <f>D6+9+F6+G6+3</f>
        <v>21.5</v>
      </c>
      <c r="O6">
        <f>N6/5</f>
        <v>4.3</v>
      </c>
      <c r="P6" s="9">
        <f>O6*0.9+1</f>
        <v>4.87</v>
      </c>
      <c r="Q6">
        <f>ROUND((O6*0.85+L6*0.15)*0.9+1,0)</f>
        <v>5</v>
      </c>
      <c r="R6" s="4" t="s">
        <v>24</v>
      </c>
    </row>
    <row r="7" spans="1:18">
      <c r="A7" s="4" t="s">
        <v>26</v>
      </c>
      <c r="B7" s="5" t="s">
        <v>27</v>
      </c>
      <c r="C7" s="5"/>
      <c r="D7" s="5">
        <v>2</v>
      </c>
      <c r="E7" s="5">
        <v>0</v>
      </c>
      <c r="F7" s="5">
        <v>0</v>
      </c>
      <c r="G7" s="5">
        <v>0.5</v>
      </c>
      <c r="H7" s="6">
        <f>D7+E7+F7+G7</f>
        <v>2.5</v>
      </c>
      <c r="I7">
        <f>H7/5</f>
        <v>0.5</v>
      </c>
      <c r="J7">
        <f>I7+0.6</f>
        <v>1.1000000000000001</v>
      </c>
      <c r="K7" s="9">
        <f>J7*0.9+1</f>
        <v>1.9900000000000002</v>
      </c>
      <c r="L7">
        <v>0</v>
      </c>
      <c r="M7">
        <f>ROUND((J7*0.85+L7*0.15)*0.9+1,0)</f>
        <v>2</v>
      </c>
      <c r="N7" s="6">
        <f>D7+9+F7+G7+3</f>
        <v>14.5</v>
      </c>
      <c r="O7">
        <f>N7/5</f>
        <v>2.9</v>
      </c>
      <c r="P7" s="9">
        <f>O7*0.9+1</f>
        <v>3.61</v>
      </c>
      <c r="Q7">
        <f>ROUND((O7*0.85+L7*0.15)*0.9+1,0)</f>
        <v>3</v>
      </c>
      <c r="R7" s="4" t="s">
        <v>26</v>
      </c>
    </row>
    <row r="8" spans="1:18">
      <c r="A8" s="4" t="s">
        <v>28</v>
      </c>
      <c r="B8" s="5" t="s">
        <v>29</v>
      </c>
      <c r="C8" s="5"/>
      <c r="D8" s="5">
        <v>2</v>
      </c>
      <c r="E8" s="5">
        <v>6.5</v>
      </c>
      <c r="F8" s="5">
        <v>14</v>
      </c>
      <c r="G8" s="5">
        <v>1.5</v>
      </c>
      <c r="H8" s="6">
        <f>D8+E8+F8+G8</f>
        <v>24</v>
      </c>
      <c r="I8">
        <f>H8/5</f>
        <v>4.8</v>
      </c>
      <c r="J8">
        <f>I8+0.6</f>
        <v>5.3999999999999995</v>
      </c>
      <c r="K8">
        <f>J8*0.9+1</f>
        <v>5.8599999999999994</v>
      </c>
      <c r="L8">
        <v>6.4</v>
      </c>
      <c r="M8">
        <f>ROUND((J8*0.85+L8*0.15)*0.9+1,0)</f>
        <v>6</v>
      </c>
      <c r="N8" s="6">
        <f>D8+9+F8+G8+3</f>
        <v>29.5</v>
      </c>
      <c r="O8">
        <f>N8/5</f>
        <v>5.9</v>
      </c>
      <c r="P8">
        <f>O8*0.9+1</f>
        <v>6.3100000000000005</v>
      </c>
      <c r="Q8">
        <f>ROUND((O8*0.85+L8*0.15)*0.9+1,0)</f>
        <v>6</v>
      </c>
      <c r="R8" s="4" t="s">
        <v>28</v>
      </c>
    </row>
    <row r="9" spans="1:18">
      <c r="A9" s="4" t="s">
        <v>30</v>
      </c>
      <c r="B9" s="5" t="s">
        <v>31</v>
      </c>
      <c r="C9" s="5"/>
      <c r="D9" s="5">
        <v>7</v>
      </c>
      <c r="E9" s="5">
        <v>8.5</v>
      </c>
      <c r="F9" s="5">
        <v>16</v>
      </c>
      <c r="G9" s="5">
        <v>5</v>
      </c>
      <c r="H9" s="6">
        <f>D9+E9+F9+G9</f>
        <v>36.5</v>
      </c>
      <c r="I9">
        <f>H9/5</f>
        <v>7.3</v>
      </c>
      <c r="J9">
        <f>I9+0.6</f>
        <v>7.8999999999999995</v>
      </c>
      <c r="K9">
        <f>J9*0.9+1</f>
        <v>8.11</v>
      </c>
      <c r="L9">
        <v>8.9</v>
      </c>
      <c r="M9">
        <f>ROUND((J9*0.85+L9*0.15)*0.9+1,0)</f>
        <v>8</v>
      </c>
      <c r="N9" s="6">
        <f>D9+9+F9+G9+3</f>
        <v>40</v>
      </c>
      <c r="O9">
        <f>N9/5</f>
        <v>8</v>
      </c>
      <c r="P9">
        <f>O9*0.9+1</f>
        <v>8.1999999999999993</v>
      </c>
      <c r="Q9">
        <f>ROUND((O9*0.85+L9*0.15)*0.9+1,0)</f>
        <v>8</v>
      </c>
      <c r="R9" s="4" t="s">
        <v>30</v>
      </c>
    </row>
    <row r="10" spans="1:18">
      <c r="A10" s="4" t="s">
        <v>32</v>
      </c>
      <c r="B10" s="5" t="s">
        <v>33</v>
      </c>
      <c r="C10" s="5"/>
      <c r="D10" s="5">
        <v>6</v>
      </c>
      <c r="E10" s="5">
        <v>0</v>
      </c>
      <c r="F10" s="5">
        <v>3</v>
      </c>
      <c r="G10" s="5">
        <v>1</v>
      </c>
      <c r="H10" s="6">
        <f>D10+E10+F10+G10</f>
        <v>10</v>
      </c>
      <c r="I10">
        <f>H10/5</f>
        <v>2</v>
      </c>
      <c r="J10">
        <f>I10+0.6</f>
        <v>2.6</v>
      </c>
      <c r="K10" s="9">
        <f>J10*0.9+1</f>
        <v>3.3400000000000003</v>
      </c>
      <c r="L10">
        <v>5.0999999999999996</v>
      </c>
      <c r="M10">
        <f>ROUND((J10*0.85+L10*0.15)*0.9+1,0)</f>
        <v>4</v>
      </c>
      <c r="N10" s="6">
        <f>D10+9+F10+G10+3</f>
        <v>22</v>
      </c>
      <c r="O10">
        <f>N10/5</f>
        <v>4.4000000000000004</v>
      </c>
      <c r="P10" s="9">
        <f>O10*0.9+1</f>
        <v>4.9600000000000009</v>
      </c>
      <c r="Q10">
        <f>ROUND((O10*0.85+L10*0.15)*0.9+1,0)</f>
        <v>5</v>
      </c>
      <c r="R10" s="4" t="s">
        <v>32</v>
      </c>
    </row>
    <row r="11" spans="1:18">
      <c r="A11" s="4" t="s">
        <v>34</v>
      </c>
      <c r="B11" s="5" t="s">
        <v>35</v>
      </c>
      <c r="C11" s="5"/>
      <c r="D11" s="5">
        <v>5</v>
      </c>
      <c r="E11" s="5">
        <v>3</v>
      </c>
      <c r="F11" s="5">
        <v>18.5</v>
      </c>
      <c r="G11" s="5">
        <v>2</v>
      </c>
      <c r="H11" s="6">
        <f>D11+E11+F11+G11</f>
        <v>28.5</v>
      </c>
      <c r="I11">
        <f>H11/5</f>
        <v>5.7</v>
      </c>
      <c r="J11">
        <f>I11+0.6</f>
        <v>6.3</v>
      </c>
      <c r="K11">
        <f>J11*0.9+1</f>
        <v>6.67</v>
      </c>
      <c r="L11">
        <v>8.1999999999999993</v>
      </c>
      <c r="M11">
        <f>ROUND((J11*0.85+L11*0.15)*0.9+1,0)</f>
        <v>7</v>
      </c>
      <c r="N11" s="6">
        <f>D11+9+F11+G11+3</f>
        <v>37.5</v>
      </c>
      <c r="O11">
        <f>N11/5</f>
        <v>7.5</v>
      </c>
      <c r="P11">
        <f>O11*0.9+1</f>
        <v>7.75</v>
      </c>
      <c r="Q11">
        <f>ROUND((O11*0.85+L11*0.15)*0.9+1,0)</f>
        <v>8</v>
      </c>
      <c r="R11" s="4" t="s">
        <v>34</v>
      </c>
    </row>
    <row r="12" spans="1:18">
      <c r="A12" s="4" t="s">
        <v>36</v>
      </c>
      <c r="B12" s="5" t="s">
        <v>35</v>
      </c>
      <c r="C12" s="5"/>
      <c r="D12" s="5">
        <v>8</v>
      </c>
      <c r="E12" s="5">
        <v>1</v>
      </c>
      <c r="F12" s="5">
        <v>10</v>
      </c>
      <c r="G12" s="5">
        <v>6</v>
      </c>
      <c r="H12" s="6">
        <f>D12+E12+F12+G12</f>
        <v>25</v>
      </c>
      <c r="I12">
        <f>H12/5</f>
        <v>5</v>
      </c>
      <c r="J12">
        <f>I12+0.6</f>
        <v>5.6</v>
      </c>
      <c r="K12">
        <f>J12*0.9+1</f>
        <v>6.04</v>
      </c>
      <c r="L12">
        <v>9.1</v>
      </c>
      <c r="M12">
        <f>ROUND((J12*0.85+L12*0.15)*0.9+1,0)</f>
        <v>7</v>
      </c>
      <c r="N12" s="6">
        <f>D12+9+F12+G12+3</f>
        <v>36</v>
      </c>
      <c r="O12">
        <f>N12/5</f>
        <v>7.2</v>
      </c>
      <c r="P12">
        <f>O12*0.9+1</f>
        <v>7.48</v>
      </c>
      <c r="Q12">
        <f>ROUND((O12*0.85+L12*0.15)*0.9+1,0)</f>
        <v>8</v>
      </c>
      <c r="R12" s="4" t="s">
        <v>36</v>
      </c>
    </row>
    <row r="13" spans="1:18">
      <c r="A13" s="4" t="s">
        <v>37</v>
      </c>
      <c r="B13" s="5" t="s">
        <v>38</v>
      </c>
      <c r="C13" s="5"/>
      <c r="D13" s="5">
        <v>6</v>
      </c>
      <c r="E13" s="5">
        <v>8.5</v>
      </c>
      <c r="F13" s="5">
        <v>18.5</v>
      </c>
      <c r="G13" s="5">
        <v>6</v>
      </c>
      <c r="H13" s="6">
        <f>D13+E13+F13+G13</f>
        <v>39</v>
      </c>
      <c r="I13">
        <f>H13/5</f>
        <v>7.8</v>
      </c>
      <c r="J13">
        <f>I13+0.6</f>
        <v>8.4</v>
      </c>
      <c r="K13">
        <f>J13*0.9+1</f>
        <v>8.56</v>
      </c>
      <c r="L13">
        <v>9.8000000000000007</v>
      </c>
      <c r="M13">
        <f>ROUND((J13*0.85+L13*0.15)*0.9+1,0)</f>
        <v>9</v>
      </c>
      <c r="N13" s="6">
        <f>D13+9+F13+G13+3</f>
        <v>42.5</v>
      </c>
      <c r="O13">
        <f>N13/5</f>
        <v>8.5</v>
      </c>
      <c r="P13">
        <f>O13*0.9+1</f>
        <v>8.65</v>
      </c>
      <c r="Q13">
        <f>ROUND((O13*0.85+L13*0.15)*0.9+1,0)</f>
        <v>9</v>
      </c>
      <c r="R13" s="4" t="s">
        <v>37</v>
      </c>
    </row>
    <row r="14" spans="1:18">
      <c r="A14" s="7" t="s">
        <v>39</v>
      </c>
      <c r="B14" s="8" t="s">
        <v>40</v>
      </c>
      <c r="C14" s="8"/>
      <c r="D14" s="8">
        <v>6</v>
      </c>
      <c r="E14" s="8">
        <v>0</v>
      </c>
      <c r="F14" s="8">
        <v>14</v>
      </c>
      <c r="G14" s="8">
        <v>0</v>
      </c>
      <c r="H14" s="6">
        <f>D14+E14+F14+G14</f>
        <v>20</v>
      </c>
      <c r="I14">
        <f>H14/5</f>
        <v>4</v>
      </c>
      <c r="J14">
        <f>I14+0.6</f>
        <v>4.5999999999999996</v>
      </c>
      <c r="K14">
        <f>J14*0.9+1</f>
        <v>5.14</v>
      </c>
      <c r="L14">
        <v>7.4</v>
      </c>
      <c r="M14">
        <f>ROUND((J14*0.85+L14*0.15)*0.9+1,0)</f>
        <v>6</v>
      </c>
      <c r="N14" s="6">
        <f>D14+9+F14+G14+3</f>
        <v>32</v>
      </c>
      <c r="O14">
        <f>N14/5</f>
        <v>6.4</v>
      </c>
      <c r="P14">
        <f>O14*0.9+1</f>
        <v>6.7600000000000007</v>
      </c>
      <c r="Q14">
        <f>ROUND((O14*0.85+L14*0.15)*0.9+1,0)</f>
        <v>7</v>
      </c>
      <c r="R14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2023-06-22T10:26:15Z</dcterms:created>
  <dcterms:modified xsi:type="dcterms:W3CDTF">2023-07-06T10:26:50Z</dcterms:modified>
  <cp:category/>
  <cp:contentStatus/>
</cp:coreProperties>
</file>